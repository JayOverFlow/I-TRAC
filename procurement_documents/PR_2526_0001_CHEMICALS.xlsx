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10147e1b97190b/Admin/Procurement/2026/PR/"/>
    </mc:Choice>
  </mc:AlternateContent>
  <xr:revisionPtr revIDLastSave="2" documentId="13_ncr:1_{C5BBBF3D-6311-4A13-838B-137808D39244}" xr6:coauthVersionLast="47" xr6:coauthVersionMax="47" xr10:uidLastSave="{BDF17751-B7E7-4CE3-BBF2-06E87048A72F}"/>
  <bookViews>
    <workbookView xWindow="-120" yWindow="-120" windowWidth="29040" windowHeight="15720" tabRatio="947" xr2:uid="{00000000-000D-0000-FFFF-FFFF00000000}"/>
  </bookViews>
  <sheets>
    <sheet name="CHEM_1" sheetId="59" r:id="rId1"/>
  </sheets>
  <definedNames>
    <definedName name="_xlnm.Print_Area" localSheetId="0">CHEM_1!$A$1:$G$51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59" l="1"/>
  <c r="G38" i="59"/>
  <c r="G37" i="59"/>
  <c r="G36" i="59"/>
  <c r="G35" i="59"/>
  <c r="G34" i="59"/>
  <c r="G33" i="59"/>
  <c r="G32" i="59"/>
  <c r="G31" i="59"/>
  <c r="G30" i="59"/>
  <c r="G29" i="59"/>
  <c r="G28" i="59"/>
  <c r="G27" i="59"/>
  <c r="G26" i="59"/>
  <c r="G25" i="59"/>
  <c r="G24" i="59"/>
  <c r="G23" i="59"/>
  <c r="G22" i="59"/>
  <c r="G21" i="59"/>
  <c r="G20" i="59"/>
  <c r="G19" i="59"/>
  <c r="G18" i="59" l="1"/>
  <c r="G17" i="59"/>
  <c r="G16" i="59"/>
  <c r="G15" i="59"/>
  <c r="G14" i="59"/>
  <c r="G13" i="59"/>
  <c r="G12" i="59"/>
  <c r="F9" i="59"/>
  <c r="F46" i="59" l="1"/>
</calcChain>
</file>

<file path=xl/sharedStrings.xml><?xml version="1.0" encoding="utf-8"?>
<sst xmlns="http://schemas.openxmlformats.org/spreadsheetml/2006/main" count="86" uniqueCount="61">
  <si>
    <t>Department:</t>
  </si>
  <si>
    <t>Section:</t>
  </si>
  <si>
    <t>Unit</t>
  </si>
  <si>
    <t xml:space="preserve">  Unit Cost</t>
  </si>
  <si>
    <t>Total Cost</t>
  </si>
  <si>
    <t>Approved by:</t>
  </si>
  <si>
    <t>Campus Director</t>
  </si>
  <si>
    <t>Item Description</t>
  </si>
  <si>
    <t>PURCHASE REQUEST</t>
  </si>
  <si>
    <t xml:space="preserve">
</t>
  </si>
  <si>
    <t>Republic of the Philippines</t>
  </si>
  <si>
    <t>Quantity</t>
  </si>
  <si>
    <t>PROCUREMENT OFFICE</t>
  </si>
  <si>
    <t>PR NO. :</t>
  </si>
  <si>
    <t>FM-PR-007        REV01      11MARCH2025</t>
  </si>
  <si>
    <t>TOTAL</t>
  </si>
  <si>
    <t>SIGNATURE:</t>
  </si>
  <si>
    <t>NAME OF REQUESTOR:</t>
  </si>
  <si>
    <t>DESIGNATION:</t>
  </si>
  <si>
    <t>TECHNOLOGICAL UNIVERSITY OF THE PHLIPPINES</t>
  </si>
  <si>
    <t>Date:</t>
  </si>
  <si>
    <t>Engr. REXMELLE F. DECAPIA, JR. Ph.D.</t>
  </si>
  <si>
    <t>http:www.tup.edu.ph  |  Telephone Nos.: (632) 8824-7250 to 54 local 113</t>
  </si>
  <si>
    <t>Km.14 East Service Road, Western Bicutan, Taguig City 1630</t>
  </si>
  <si>
    <t>PURPOSE:</t>
  </si>
  <si>
    <t>Water quality tester TDS/EC/PH/salinity/thermometer digital water quality tester with backlight</t>
  </si>
  <si>
    <t>Basic Arts and Sciences Department</t>
  </si>
  <si>
    <t>Ceramic Spot Plate, 12 holes</t>
  </si>
  <si>
    <t>Rigid Coupling, brass, 8-10mm</t>
  </si>
  <si>
    <t>Moon Blade, PTFE Stirring Paddle, 40mm x 250mm</t>
  </si>
  <si>
    <t>Rigid Coupling, brass, 7-8mm</t>
  </si>
  <si>
    <t>100pcs Universal pH indicator strips, 0-14pH range</t>
  </si>
  <si>
    <t>bottle</t>
  </si>
  <si>
    <t>Anhydrous Calcium chloride, 500 g</t>
  </si>
  <si>
    <t>Chemistry and Physics</t>
  </si>
  <si>
    <t>pcs</t>
  </si>
  <si>
    <t>Adjustable Micropipette, M Series, 100-1000 uL</t>
  </si>
  <si>
    <t>Adjustable Micropipette, M Series, 1-10 mL</t>
  </si>
  <si>
    <t>Potassium Hydrogen Phthalate, AR Grade, 500g, branded</t>
  </si>
  <si>
    <t>Lead Electrode Metal Plate, 4cm x 10cm</t>
  </si>
  <si>
    <t>Glycerol, Analytic grade, 500 ml</t>
  </si>
  <si>
    <t>unit</t>
  </si>
  <si>
    <t>Infrared Thermometer, -50ºC to 500ºC Range</t>
  </si>
  <si>
    <t>Acetone, Analytic grade, 1L</t>
  </si>
  <si>
    <t>Hydrochloric Acid, concentrated, AR Grade, 2.5L</t>
  </si>
  <si>
    <t>Anhydrous Iron (III) chloride, 500 g</t>
  </si>
  <si>
    <t xml:space="preserve">Potassium Chloride, 500 g </t>
  </si>
  <si>
    <t>Potassium Iodide, 500 g</t>
  </si>
  <si>
    <t>For CHEM1ET and CHEMENG Laboratory experiments</t>
  </si>
  <si>
    <t>Nitric Acid, concentrated, AR Grade, 2.5L</t>
  </si>
  <si>
    <t>Glacial Acetic Acid, AR Grade, 2.5 L</t>
  </si>
  <si>
    <t xml:space="preserve">Copper (II) Sulfate Pentahydrate, 500 g </t>
  </si>
  <si>
    <t>Sodium Nitrate, AR Grade, 500 g</t>
  </si>
  <si>
    <t>Ammonium Nitrate, AR Grade, 500 g</t>
  </si>
  <si>
    <t>Potassium Nitrate, AR Grade, 500 g</t>
  </si>
  <si>
    <t>Lead (II) Nitrate, AR Grade, 500 g</t>
  </si>
  <si>
    <t>pH buffer solution, pH 4, 1L</t>
  </si>
  <si>
    <t>pH buffer solution, pH 7, 1L</t>
  </si>
  <si>
    <t>pH buffer solution, pH 10, 1L</t>
  </si>
  <si>
    <t>PATRICK JUSTIN ARIADO                       HEHERSON P. RAMOS</t>
  </si>
  <si>
    <t>Section Head                                             Department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</si>
</sst>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20"/>
      <color theme="1"/>
      <name val="Calibri"/>
      <family val="2"/>
      <scheme val="minor"/>
    </font>
    <font>
      <sz val="10.5"/>
      <color theme="1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7" fillId="0" borderId="6" xfId="4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2" fillId="0" borderId="0" xfId="0" applyFont="1"/>
    <xf numFmtId="165" fontId="14" fillId="0" borderId="0" xfId="0" applyNumberFormat="1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9" fillId="0" borderId="0" xfId="8" applyFill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 wrapText="1"/>
    </xf>
    <xf numFmtId="164" fontId="6" fillId="0" borderId="0" xfId="3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wrapText="1"/>
    </xf>
    <xf numFmtId="0" fontId="16" fillId="0" borderId="15" xfId="0" applyFont="1" applyBorder="1" applyAlignment="1">
      <alignment horizontal="center" vertical="top" wrapText="1"/>
    </xf>
    <xf numFmtId="0" fontId="20" fillId="0" borderId="7" xfId="1" applyFont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38" xfId="0" applyFont="1" applyBorder="1"/>
    <xf numFmtId="0" fontId="12" fillId="0" borderId="23" xfId="0" applyFont="1" applyBorder="1"/>
    <xf numFmtId="0" fontId="12" fillId="0" borderId="9" xfId="0" applyFont="1" applyBorder="1"/>
    <xf numFmtId="0" fontId="16" fillId="0" borderId="11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22" fillId="0" borderId="7" xfId="0" applyFont="1" applyBorder="1" applyAlignment="1">
      <alignment horizontal="right" vertical="center" wrapText="1"/>
    </xf>
    <xf numFmtId="0" fontId="20" fillId="0" borderId="7" xfId="1" applyFont="1" applyBorder="1" applyAlignment="1">
      <alignment horizontal="right" vertical="center"/>
    </xf>
    <xf numFmtId="0" fontId="26" fillId="0" borderId="32" xfId="1" applyFont="1" applyBorder="1" applyAlignment="1">
      <alignment horizontal="center"/>
    </xf>
    <xf numFmtId="0" fontId="21" fillId="0" borderId="33" xfId="1" applyFont="1" applyBorder="1" applyAlignment="1">
      <alignment horizontal="center" wrapText="1"/>
    </xf>
    <xf numFmtId="43" fontId="5" fillId="2" borderId="40" xfId="9" applyFont="1" applyFill="1" applyBorder="1" applyAlignment="1">
      <alignment horizontal="center" vertical="center"/>
    </xf>
    <xf numFmtId="0" fontId="26" fillId="0" borderId="42" xfId="1" applyFont="1" applyBorder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25" fillId="0" borderId="39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16" fillId="0" borderId="0" xfId="0" applyFont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2" fillId="0" borderId="0" xfId="0" applyFont="1" applyAlignment="1">
      <alignment horizontal="center" vertical="top" wrapText="1"/>
    </xf>
    <xf numFmtId="0" fontId="22" fillId="0" borderId="39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5" fillId="2" borderId="7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164" fontId="5" fillId="2" borderId="1" xfId="2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2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left" vertical="center" wrapText="1"/>
    </xf>
    <xf numFmtId="22" fontId="22" fillId="0" borderId="2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8" fillId="0" borderId="0" xfId="1" applyFont="1"/>
    <xf numFmtId="0" fontId="16" fillId="0" borderId="0" xfId="0" applyFont="1"/>
    <xf numFmtId="0" fontId="26" fillId="0" borderId="22" xfId="1" applyFont="1" applyBorder="1" applyAlignment="1">
      <alignment horizontal="center"/>
    </xf>
    <xf numFmtId="0" fontId="26" fillId="0" borderId="21" xfId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7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164" fontId="5" fillId="2" borderId="7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0" fontId="19" fillId="0" borderId="19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6" fillId="0" borderId="29" xfId="0" applyFont="1" applyBorder="1"/>
    <xf numFmtId="0" fontId="0" fillId="0" borderId="29" xfId="0" applyBorder="1"/>
    <xf numFmtId="0" fontId="19" fillId="0" borderId="20" xfId="0" applyFont="1" applyBorder="1" applyAlignment="1">
      <alignment horizontal="right" vertical="center"/>
    </xf>
    <xf numFmtId="0" fontId="19" fillId="0" borderId="21" xfId="0" applyFont="1" applyBorder="1"/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9" fillId="0" borderId="16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6" fillId="0" borderId="7" xfId="0" applyFont="1" applyBorder="1"/>
    <xf numFmtId="0" fontId="16" fillId="0" borderId="3" xfId="0" applyFont="1" applyBorder="1"/>
    <xf numFmtId="0" fontId="19" fillId="0" borderId="4" xfId="0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27" fillId="0" borderId="28" xfId="0" applyFont="1" applyBorder="1" applyAlignment="1">
      <alignment horizontal="right" vertical="center"/>
    </xf>
    <xf numFmtId="0" fontId="27" fillId="0" borderId="29" xfId="0" applyFont="1" applyBorder="1" applyAlignment="1">
      <alignment horizontal="right"/>
    </xf>
    <xf numFmtId="0" fontId="27" fillId="0" borderId="30" xfId="0" applyFont="1" applyBorder="1" applyAlignment="1">
      <alignment horizontal="right"/>
    </xf>
    <xf numFmtId="39" fontId="27" fillId="0" borderId="4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</cellXfs>
  <cellStyles count="10">
    <cellStyle name="Comma" xfId="9" builtinId="3"/>
    <cellStyle name="Comma 2" xfId="3" xr:uid="{00000000-0005-0000-0000-000000000000}"/>
    <cellStyle name="Comma 2 2" xfId="6" xr:uid="{00000000-0005-0000-0000-000001000000}"/>
    <cellStyle name="Comma 3" xfId="2" xr:uid="{00000000-0005-0000-0000-000002000000}"/>
    <cellStyle name="Hyperlink" xfId="8" builtinId="8"/>
    <cellStyle name="Normal" xfId="0" builtinId="0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125039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94761F-2014-4640-A3D2-5EEC43C2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1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9C3F2-4F7A-4485-8E70-BBB3D2FD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1876425"/>
          <a:ext cx="0" cy="41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221422</xdr:colOff>
      <xdr:row>1</xdr:row>
      <xdr:rowOff>52879</xdr:rowOff>
    </xdr:from>
    <xdr:to>
      <xdr:col>1</xdr:col>
      <xdr:colOff>177800</xdr:colOff>
      <xdr:row>4</xdr:row>
      <xdr:rowOff>203396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E2A67AF-FD83-403B-8530-FA4E44B3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1422" y="129079"/>
          <a:ext cx="642178" cy="74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29C-91B2-4103-86A7-16F40F6D1729}">
  <sheetPr>
    <pageSetUpPr fitToPage="1"/>
  </sheetPr>
  <dimension ref="A1:N51"/>
  <sheetViews>
    <sheetView tabSelected="1" topLeftCell="A35" zoomScale="130" zoomScaleNormal="130" zoomScalePageLayoutView="145" workbookViewId="0">
      <selection activeCell="C39" sqref="C39:D39"/>
    </sheetView>
  </sheetViews>
  <sheetFormatPr defaultColWidth="8.85546875" defaultRowHeight="14.25" x14ac:dyDescent="0.2"/>
  <cols>
    <col min="1" max="1" width="10.28515625" style="3" customWidth="1"/>
    <col min="2" max="2" width="9.85546875" style="3" customWidth="1"/>
    <col min="3" max="3" width="10" style="3" customWidth="1"/>
    <col min="4" max="4" width="48.7109375" style="3" customWidth="1"/>
    <col min="5" max="5" width="10.7109375" style="3" customWidth="1"/>
    <col min="6" max="6" width="6.140625" style="3" customWidth="1"/>
    <col min="7" max="7" width="19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21" t="s">
        <v>9</v>
      </c>
      <c r="B1" s="22"/>
      <c r="C1" s="22"/>
      <c r="D1" s="23"/>
      <c r="E1" s="24"/>
      <c r="F1" s="22"/>
      <c r="G1" s="25"/>
    </row>
    <row r="2" spans="1:14" ht="15.95" customHeight="1" x14ac:dyDescent="0.3">
      <c r="A2" s="16"/>
      <c r="B2" s="42" t="s">
        <v>10</v>
      </c>
      <c r="C2" s="42"/>
      <c r="D2" s="43"/>
      <c r="E2" s="44" t="s">
        <v>12</v>
      </c>
      <c r="F2" s="42"/>
      <c r="G2" s="45"/>
    </row>
    <row r="3" spans="1:14" ht="15.95" customHeight="1" x14ac:dyDescent="0.2">
      <c r="A3" s="17"/>
      <c r="B3" s="46" t="s">
        <v>19</v>
      </c>
      <c r="C3" s="46"/>
      <c r="D3" s="47"/>
      <c r="E3" s="48" t="s">
        <v>8</v>
      </c>
      <c r="F3" s="49"/>
      <c r="G3" s="50"/>
    </row>
    <row r="4" spans="1:14" ht="15" customHeight="1" x14ac:dyDescent="0.3">
      <c r="A4" s="16"/>
      <c r="B4" s="42" t="s">
        <v>23</v>
      </c>
      <c r="C4" s="42"/>
      <c r="D4" s="43"/>
      <c r="E4" s="51"/>
      <c r="F4" s="52"/>
      <c r="G4" s="50"/>
    </row>
    <row r="5" spans="1:14" ht="17.100000000000001" customHeight="1" x14ac:dyDescent="0.2">
      <c r="A5" s="17"/>
      <c r="B5" s="37" t="s">
        <v>22</v>
      </c>
      <c r="C5" s="37"/>
      <c r="D5" s="38"/>
      <c r="E5" s="39" t="s">
        <v>14</v>
      </c>
      <c r="F5" s="40"/>
      <c r="G5" s="41"/>
    </row>
    <row r="6" spans="1:14" ht="5.0999999999999996" customHeight="1" thickBot="1" x14ac:dyDescent="0.25">
      <c r="A6" s="26"/>
      <c r="B6" s="27"/>
      <c r="C6" s="27"/>
      <c r="D6" s="28"/>
      <c r="E6" s="29"/>
      <c r="F6" s="27"/>
      <c r="G6" s="30"/>
    </row>
    <row r="7" spans="1:14" ht="8.1" customHeight="1" x14ac:dyDescent="0.2">
      <c r="A7" s="19"/>
      <c r="B7" s="20"/>
      <c r="C7" s="20"/>
      <c r="D7" s="20"/>
      <c r="E7" s="20"/>
      <c r="F7" s="20"/>
      <c r="G7" s="20"/>
    </row>
    <row r="8" spans="1:14" ht="21.95" customHeight="1" x14ac:dyDescent="0.2">
      <c r="A8" s="32" t="s">
        <v>0</v>
      </c>
      <c r="B8" s="56" t="s">
        <v>26</v>
      </c>
      <c r="C8" s="56"/>
      <c r="D8" s="57"/>
      <c r="E8" s="18" t="s">
        <v>13</v>
      </c>
      <c r="F8" s="58"/>
      <c r="G8" s="59"/>
      <c r="H8" s="4"/>
    </row>
    <row r="9" spans="1:14" ht="21.95" customHeight="1" x14ac:dyDescent="0.2">
      <c r="A9" s="32" t="s">
        <v>1</v>
      </c>
      <c r="B9" s="56" t="s">
        <v>34</v>
      </c>
      <c r="C9" s="56"/>
      <c r="D9" s="57"/>
      <c r="E9" s="31" t="s">
        <v>20</v>
      </c>
      <c r="F9" s="60" t="str">
        <f ca="1">TEXT(NOW(),"mmm dd, yyyy")</f>
        <v>Apr 07, 2026</v>
      </c>
      <c r="G9" s="61"/>
    </row>
    <row r="10" spans="1:14" ht="8.1" customHeight="1" thickBot="1" x14ac:dyDescent="0.35">
      <c r="A10" s="62"/>
      <c r="B10" s="63"/>
      <c r="C10" s="63"/>
      <c r="D10" s="63"/>
      <c r="E10" s="63"/>
      <c r="F10" s="63"/>
      <c r="G10" s="63"/>
    </row>
    <row r="11" spans="1:14" ht="15.75" x14ac:dyDescent="0.25">
      <c r="A11" s="33" t="s">
        <v>11</v>
      </c>
      <c r="B11" s="36" t="s">
        <v>2</v>
      </c>
      <c r="C11" s="64" t="s">
        <v>7</v>
      </c>
      <c r="D11" s="65"/>
      <c r="E11" s="64" t="s">
        <v>3</v>
      </c>
      <c r="F11" s="66"/>
      <c r="G11" s="34" t="s">
        <v>4</v>
      </c>
    </row>
    <row r="12" spans="1:14" ht="18" customHeight="1" x14ac:dyDescent="0.2">
      <c r="A12" s="12">
        <v>4</v>
      </c>
      <c r="B12" s="1" t="s">
        <v>32</v>
      </c>
      <c r="C12" s="53" t="s">
        <v>38</v>
      </c>
      <c r="D12" s="54"/>
      <c r="E12" s="55">
        <v>3500</v>
      </c>
      <c r="F12" s="55"/>
      <c r="G12" s="35">
        <f t="shared" ref="G12:G39" si="0">A12*E12</f>
        <v>14000</v>
      </c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>
        <v>50</v>
      </c>
      <c r="B13" s="1" t="s">
        <v>35</v>
      </c>
      <c r="C13" s="53" t="s">
        <v>39</v>
      </c>
      <c r="D13" s="54"/>
      <c r="E13" s="55">
        <v>250</v>
      </c>
      <c r="F13" s="55"/>
      <c r="G13" s="35">
        <f t="shared" si="0"/>
        <v>12500</v>
      </c>
      <c r="H13" s="11"/>
      <c r="I13" s="8"/>
      <c r="J13" s="7"/>
      <c r="K13" s="9"/>
      <c r="L13" s="5"/>
    </row>
    <row r="14" spans="1:14" ht="21" customHeight="1" x14ac:dyDescent="0.2">
      <c r="A14" s="13">
        <v>4</v>
      </c>
      <c r="B14" s="1" t="s">
        <v>32</v>
      </c>
      <c r="C14" s="53" t="s">
        <v>40</v>
      </c>
      <c r="D14" s="54"/>
      <c r="E14" s="55">
        <v>1500</v>
      </c>
      <c r="F14" s="55"/>
      <c r="G14" s="35">
        <f t="shared" si="0"/>
        <v>6000</v>
      </c>
      <c r="H14" s="11"/>
    </row>
    <row r="15" spans="1:14" ht="18" customHeight="1" x14ac:dyDescent="0.2">
      <c r="A15" s="13">
        <v>1</v>
      </c>
      <c r="B15" s="1" t="s">
        <v>32</v>
      </c>
      <c r="C15" s="53" t="s">
        <v>33</v>
      </c>
      <c r="D15" s="54"/>
      <c r="E15" s="55">
        <v>1500</v>
      </c>
      <c r="F15" s="55"/>
      <c r="G15" s="35">
        <f t="shared" si="0"/>
        <v>1500</v>
      </c>
      <c r="H15" s="11"/>
    </row>
    <row r="16" spans="1:14" ht="18" customHeight="1" x14ac:dyDescent="0.2">
      <c r="A16" s="13">
        <v>2</v>
      </c>
      <c r="B16" s="2" t="s">
        <v>32</v>
      </c>
      <c r="C16" s="53" t="s">
        <v>43</v>
      </c>
      <c r="D16" s="54"/>
      <c r="E16" s="55">
        <v>1000</v>
      </c>
      <c r="F16" s="55"/>
      <c r="G16" s="35">
        <f t="shared" si="0"/>
        <v>2000</v>
      </c>
      <c r="H16" s="11"/>
    </row>
    <row r="17" spans="1:8" ht="18" customHeight="1" x14ac:dyDescent="0.2">
      <c r="A17" s="13">
        <v>1</v>
      </c>
      <c r="B17" s="2" t="s">
        <v>32</v>
      </c>
      <c r="C17" s="53" t="s">
        <v>44</v>
      </c>
      <c r="D17" s="54"/>
      <c r="E17" s="55">
        <v>1500</v>
      </c>
      <c r="F17" s="55"/>
      <c r="G17" s="35">
        <f t="shared" si="0"/>
        <v>1500</v>
      </c>
      <c r="H17" s="11"/>
    </row>
    <row r="18" spans="1:8" ht="18" customHeight="1" x14ac:dyDescent="0.2">
      <c r="A18" s="13">
        <v>1</v>
      </c>
      <c r="B18" s="2" t="s">
        <v>32</v>
      </c>
      <c r="C18" s="67" t="s">
        <v>45</v>
      </c>
      <c r="D18" s="68"/>
      <c r="E18" s="55">
        <v>1800</v>
      </c>
      <c r="F18" s="55"/>
      <c r="G18" s="35">
        <f t="shared" si="0"/>
        <v>1800</v>
      </c>
      <c r="H18" s="11"/>
    </row>
    <row r="19" spans="1:8" ht="18" customHeight="1" x14ac:dyDescent="0.2">
      <c r="A19" s="13">
        <v>1</v>
      </c>
      <c r="B19" s="2" t="s">
        <v>32</v>
      </c>
      <c r="C19" s="67" t="s">
        <v>46</v>
      </c>
      <c r="D19" s="68"/>
      <c r="E19" s="55">
        <v>1500</v>
      </c>
      <c r="F19" s="55"/>
      <c r="G19" s="35">
        <f t="shared" si="0"/>
        <v>1500</v>
      </c>
      <c r="H19" s="10"/>
    </row>
    <row r="20" spans="1:8" ht="18" customHeight="1" x14ac:dyDescent="0.2">
      <c r="A20" s="13">
        <v>1</v>
      </c>
      <c r="B20" s="2" t="s">
        <v>32</v>
      </c>
      <c r="C20" s="67" t="s">
        <v>47</v>
      </c>
      <c r="D20" s="68"/>
      <c r="E20" s="55">
        <v>10000</v>
      </c>
      <c r="F20" s="55"/>
      <c r="G20" s="35">
        <f t="shared" si="0"/>
        <v>10000</v>
      </c>
      <c r="H20" s="10"/>
    </row>
    <row r="21" spans="1:8" ht="18" customHeight="1" x14ac:dyDescent="0.2">
      <c r="A21" s="13">
        <v>1</v>
      </c>
      <c r="B21" s="2" t="s">
        <v>32</v>
      </c>
      <c r="C21" s="67" t="s">
        <v>51</v>
      </c>
      <c r="D21" s="68"/>
      <c r="E21" s="55">
        <v>2000</v>
      </c>
      <c r="F21" s="55"/>
      <c r="G21" s="35">
        <f t="shared" si="0"/>
        <v>2000</v>
      </c>
      <c r="H21" s="10"/>
    </row>
    <row r="22" spans="1:8" ht="18" customHeight="1" x14ac:dyDescent="0.2">
      <c r="A22" s="13">
        <v>1</v>
      </c>
      <c r="B22" s="2" t="s">
        <v>32</v>
      </c>
      <c r="C22" s="67" t="s">
        <v>49</v>
      </c>
      <c r="D22" s="68"/>
      <c r="E22" s="55">
        <v>2000</v>
      </c>
      <c r="F22" s="55"/>
      <c r="G22" s="35">
        <f t="shared" si="0"/>
        <v>2000</v>
      </c>
      <c r="H22" s="10"/>
    </row>
    <row r="23" spans="1:8" ht="18" customHeight="1" x14ac:dyDescent="0.2">
      <c r="A23" s="13">
        <v>2</v>
      </c>
      <c r="B23" s="2" t="s">
        <v>32</v>
      </c>
      <c r="C23" s="67" t="s">
        <v>50</v>
      </c>
      <c r="D23" s="68"/>
      <c r="E23" s="55">
        <v>3500</v>
      </c>
      <c r="F23" s="55"/>
      <c r="G23" s="35">
        <f t="shared" si="0"/>
        <v>7000</v>
      </c>
      <c r="H23" s="10"/>
    </row>
    <row r="24" spans="1:8" ht="18" customHeight="1" x14ac:dyDescent="0.2">
      <c r="A24" s="13">
        <v>1</v>
      </c>
      <c r="B24" s="2" t="s">
        <v>32</v>
      </c>
      <c r="C24" s="67" t="s">
        <v>52</v>
      </c>
      <c r="D24" s="68"/>
      <c r="E24" s="55">
        <v>2000</v>
      </c>
      <c r="F24" s="55"/>
      <c r="G24" s="35">
        <f t="shared" si="0"/>
        <v>2000</v>
      </c>
      <c r="H24" s="10"/>
    </row>
    <row r="25" spans="1:8" ht="18" customHeight="1" x14ac:dyDescent="0.2">
      <c r="A25" s="13">
        <v>1</v>
      </c>
      <c r="B25" s="2" t="s">
        <v>32</v>
      </c>
      <c r="C25" s="67" t="s">
        <v>53</v>
      </c>
      <c r="D25" s="68"/>
      <c r="E25" s="55">
        <v>2000</v>
      </c>
      <c r="F25" s="55"/>
      <c r="G25" s="35">
        <f t="shared" si="0"/>
        <v>2000</v>
      </c>
      <c r="H25" s="10"/>
    </row>
    <row r="26" spans="1:8" ht="18" customHeight="1" x14ac:dyDescent="0.2">
      <c r="A26" s="13">
        <v>1</v>
      </c>
      <c r="B26" s="2" t="s">
        <v>32</v>
      </c>
      <c r="C26" s="67" t="s">
        <v>54</v>
      </c>
      <c r="D26" s="68"/>
      <c r="E26" s="55">
        <v>2000</v>
      </c>
      <c r="F26" s="55"/>
      <c r="G26" s="35">
        <f t="shared" si="0"/>
        <v>2000</v>
      </c>
      <c r="H26" s="10"/>
    </row>
    <row r="27" spans="1:8" ht="18" customHeight="1" x14ac:dyDescent="0.2">
      <c r="A27" s="13">
        <v>1</v>
      </c>
      <c r="B27" s="2" t="s">
        <v>32</v>
      </c>
      <c r="C27" s="67" t="s">
        <v>55</v>
      </c>
      <c r="D27" s="68"/>
      <c r="E27" s="55">
        <v>10000</v>
      </c>
      <c r="F27" s="55"/>
      <c r="G27" s="35">
        <f t="shared" si="0"/>
        <v>10000</v>
      </c>
      <c r="H27" s="10"/>
    </row>
    <row r="28" spans="1:8" ht="18" customHeight="1" x14ac:dyDescent="0.2">
      <c r="A28" s="13">
        <v>1</v>
      </c>
      <c r="B28" s="2" t="s">
        <v>32</v>
      </c>
      <c r="C28" s="69" t="s">
        <v>56</v>
      </c>
      <c r="D28" s="70"/>
      <c r="E28" s="55">
        <v>2500</v>
      </c>
      <c r="F28" s="55"/>
      <c r="G28" s="35">
        <f t="shared" si="0"/>
        <v>2500</v>
      </c>
      <c r="H28" s="10"/>
    </row>
    <row r="29" spans="1:8" ht="18" customHeight="1" x14ac:dyDescent="0.2">
      <c r="A29" s="13">
        <v>1</v>
      </c>
      <c r="B29" s="2" t="s">
        <v>32</v>
      </c>
      <c r="C29" s="69" t="s">
        <v>57</v>
      </c>
      <c r="D29" s="71"/>
      <c r="E29" s="55">
        <v>2500</v>
      </c>
      <c r="F29" s="55"/>
      <c r="G29" s="35">
        <f t="shared" si="0"/>
        <v>2500</v>
      </c>
      <c r="H29" s="10"/>
    </row>
    <row r="30" spans="1:8" ht="18" customHeight="1" x14ac:dyDescent="0.2">
      <c r="A30" s="13">
        <v>1</v>
      </c>
      <c r="B30" s="2" t="s">
        <v>32</v>
      </c>
      <c r="C30" s="69" t="s">
        <v>58</v>
      </c>
      <c r="D30" s="70"/>
      <c r="E30" s="55">
        <v>2500</v>
      </c>
      <c r="F30" s="55"/>
      <c r="G30" s="35">
        <f t="shared" si="0"/>
        <v>2500</v>
      </c>
      <c r="H30" s="10"/>
    </row>
    <row r="31" spans="1:8" ht="18" customHeight="1" x14ac:dyDescent="0.2">
      <c r="A31" s="13">
        <v>6</v>
      </c>
      <c r="B31" s="2" t="s">
        <v>35</v>
      </c>
      <c r="C31" s="67" t="s">
        <v>27</v>
      </c>
      <c r="D31" s="68"/>
      <c r="E31" s="55">
        <v>800</v>
      </c>
      <c r="F31" s="55"/>
      <c r="G31" s="35">
        <f t="shared" si="0"/>
        <v>4800</v>
      </c>
      <c r="H31" s="10"/>
    </row>
    <row r="32" spans="1:8" ht="18" customHeight="1" x14ac:dyDescent="0.2">
      <c r="A32" s="13">
        <v>1</v>
      </c>
      <c r="B32" s="2" t="s">
        <v>35</v>
      </c>
      <c r="C32" s="67" t="s">
        <v>30</v>
      </c>
      <c r="D32" s="68"/>
      <c r="E32" s="55">
        <v>200</v>
      </c>
      <c r="F32" s="55"/>
      <c r="G32" s="35">
        <f t="shared" si="0"/>
        <v>200</v>
      </c>
      <c r="H32" s="10"/>
    </row>
    <row r="33" spans="1:8" ht="18" customHeight="1" x14ac:dyDescent="0.2">
      <c r="A33" s="13">
        <v>1</v>
      </c>
      <c r="B33" s="2" t="s">
        <v>35</v>
      </c>
      <c r="C33" s="67" t="s">
        <v>28</v>
      </c>
      <c r="D33" s="68"/>
      <c r="E33" s="55">
        <v>200</v>
      </c>
      <c r="F33" s="55"/>
      <c r="G33" s="35">
        <f t="shared" si="0"/>
        <v>200</v>
      </c>
      <c r="H33" s="10"/>
    </row>
    <row r="34" spans="1:8" ht="18" customHeight="1" x14ac:dyDescent="0.2">
      <c r="A34" s="13">
        <v>1</v>
      </c>
      <c r="B34" s="2" t="s">
        <v>35</v>
      </c>
      <c r="C34" s="67" t="s">
        <v>29</v>
      </c>
      <c r="D34" s="68"/>
      <c r="E34" s="55">
        <v>1500</v>
      </c>
      <c r="F34" s="55"/>
      <c r="G34" s="35">
        <f t="shared" si="0"/>
        <v>1500</v>
      </c>
      <c r="H34" s="10"/>
    </row>
    <row r="35" spans="1:8" ht="18" customHeight="1" x14ac:dyDescent="0.2">
      <c r="A35" s="13">
        <v>2</v>
      </c>
      <c r="B35" s="2" t="s">
        <v>41</v>
      </c>
      <c r="C35" s="67" t="s">
        <v>42</v>
      </c>
      <c r="D35" s="68"/>
      <c r="E35" s="55">
        <v>1500</v>
      </c>
      <c r="F35" s="55"/>
      <c r="G35" s="35">
        <f t="shared" si="0"/>
        <v>3000</v>
      </c>
      <c r="H35" s="10"/>
    </row>
    <row r="36" spans="1:8" ht="18" customHeight="1" x14ac:dyDescent="0.2">
      <c r="A36" s="13">
        <v>1</v>
      </c>
      <c r="B36" s="2" t="s">
        <v>35</v>
      </c>
      <c r="C36" s="67" t="s">
        <v>36</v>
      </c>
      <c r="D36" s="68"/>
      <c r="E36" s="55">
        <v>1500</v>
      </c>
      <c r="F36" s="55"/>
      <c r="G36" s="35">
        <f t="shared" si="0"/>
        <v>1500</v>
      </c>
      <c r="H36" s="10"/>
    </row>
    <row r="37" spans="1:8" ht="18" customHeight="1" x14ac:dyDescent="0.2">
      <c r="A37" s="13">
        <v>1</v>
      </c>
      <c r="B37" s="2" t="s">
        <v>35</v>
      </c>
      <c r="C37" s="67" t="s">
        <v>37</v>
      </c>
      <c r="D37" s="68"/>
      <c r="E37" s="55">
        <v>1500</v>
      </c>
      <c r="F37" s="55"/>
      <c r="G37" s="35">
        <f t="shared" si="0"/>
        <v>1500</v>
      </c>
      <c r="H37" s="10"/>
    </row>
    <row r="38" spans="1:8" ht="18" customHeight="1" x14ac:dyDescent="0.2">
      <c r="A38" s="13">
        <v>2</v>
      </c>
      <c r="B38" s="2" t="s">
        <v>35</v>
      </c>
      <c r="C38" s="67" t="s">
        <v>31</v>
      </c>
      <c r="D38" s="68"/>
      <c r="E38" s="55">
        <v>250</v>
      </c>
      <c r="F38" s="55"/>
      <c r="G38" s="35">
        <f t="shared" si="0"/>
        <v>500</v>
      </c>
      <c r="H38" s="10"/>
    </row>
    <row r="39" spans="1:8" ht="36" customHeight="1" x14ac:dyDescent="0.2">
      <c r="A39" s="13">
        <v>1</v>
      </c>
      <c r="B39" s="2" t="s">
        <v>35</v>
      </c>
      <c r="C39" s="72" t="s">
        <v>25</v>
      </c>
      <c r="D39" s="73"/>
      <c r="E39" s="74">
        <v>1500</v>
      </c>
      <c r="F39" s="75"/>
      <c r="G39" s="35">
        <f t="shared" si="0"/>
        <v>1500</v>
      </c>
      <c r="H39" s="10"/>
    </row>
    <row r="40" spans="1:8" ht="18" customHeight="1" x14ac:dyDescent="0.2">
      <c r="A40" s="13"/>
      <c r="B40" s="2"/>
      <c r="C40" s="67"/>
      <c r="D40" s="68"/>
      <c r="E40" s="55"/>
      <c r="F40" s="55"/>
      <c r="G40" s="35"/>
      <c r="H40" s="10"/>
    </row>
    <row r="41" spans="1:8" ht="18" customHeight="1" x14ac:dyDescent="0.2">
      <c r="A41" s="13"/>
      <c r="B41" s="2"/>
      <c r="C41" s="67"/>
      <c r="D41" s="68"/>
      <c r="E41" s="55"/>
      <c r="F41" s="55"/>
      <c r="G41" s="35"/>
      <c r="H41" s="10"/>
    </row>
    <row r="42" spans="1:8" ht="18" customHeight="1" x14ac:dyDescent="0.2">
      <c r="A42" s="13"/>
      <c r="B42" s="2"/>
      <c r="C42" s="67"/>
      <c r="D42" s="68"/>
      <c r="E42" s="55"/>
      <c r="F42" s="55"/>
      <c r="G42" s="35"/>
      <c r="H42" s="10"/>
    </row>
    <row r="43" spans="1:8" ht="18" customHeight="1" x14ac:dyDescent="0.2">
      <c r="A43" s="13"/>
      <c r="B43" s="2"/>
      <c r="C43" s="67"/>
      <c r="D43" s="68"/>
      <c r="E43" s="55"/>
      <c r="F43" s="55"/>
      <c r="G43" s="35"/>
      <c r="H43" s="10"/>
    </row>
    <row r="44" spans="1:8" ht="18" customHeight="1" x14ac:dyDescent="0.2">
      <c r="A44" s="13"/>
      <c r="B44" s="2"/>
      <c r="C44" s="67"/>
      <c r="D44" s="68"/>
      <c r="E44" s="55"/>
      <c r="F44" s="55"/>
      <c r="G44" s="35"/>
      <c r="H44" s="10"/>
    </row>
    <row r="45" spans="1:8" ht="18" customHeight="1" thickBot="1" x14ac:dyDescent="0.25">
      <c r="A45" s="14"/>
      <c r="B45" s="15"/>
      <c r="C45" s="98"/>
      <c r="D45" s="99"/>
      <c r="E45" s="55"/>
      <c r="F45" s="55"/>
      <c r="G45" s="35"/>
      <c r="H45" s="10"/>
    </row>
    <row r="46" spans="1:8" ht="18" customHeight="1" thickBot="1" x14ac:dyDescent="0.3">
      <c r="A46" s="100" t="s">
        <v>15</v>
      </c>
      <c r="B46" s="101"/>
      <c r="C46" s="101"/>
      <c r="D46" s="101"/>
      <c r="E46" s="102"/>
      <c r="F46" s="103">
        <f>SUM(G12:G45)</f>
        <v>100000</v>
      </c>
      <c r="G46" s="104"/>
      <c r="H46" s="10"/>
    </row>
    <row r="47" spans="1:8" ht="8.1" customHeight="1" thickBot="1" x14ac:dyDescent="0.35">
      <c r="A47" s="82"/>
      <c r="B47" s="83"/>
      <c r="C47" s="83"/>
      <c r="D47" s="83"/>
      <c r="E47" s="83"/>
      <c r="F47" s="83"/>
      <c r="G47" s="83"/>
    </row>
    <row r="48" spans="1:8" ht="24" customHeight="1" x14ac:dyDescent="0.3">
      <c r="A48" s="84" t="s">
        <v>24</v>
      </c>
      <c r="B48" s="85"/>
      <c r="C48" s="86" t="s">
        <v>48</v>
      </c>
      <c r="D48" s="86"/>
      <c r="E48" s="86"/>
      <c r="F48" s="86"/>
      <c r="G48" s="87"/>
    </row>
    <row r="49" spans="1:7" ht="42.95" customHeight="1" x14ac:dyDescent="0.3">
      <c r="A49" s="88" t="s">
        <v>16</v>
      </c>
      <c r="B49" s="89"/>
      <c r="C49" s="90"/>
      <c r="D49" s="91"/>
      <c r="E49" s="92" t="s">
        <v>5</v>
      </c>
      <c r="F49" s="92"/>
      <c r="G49" s="93"/>
    </row>
    <row r="50" spans="1:7" ht="24" customHeight="1" x14ac:dyDescent="0.3">
      <c r="A50" s="88" t="s">
        <v>17</v>
      </c>
      <c r="B50" s="89"/>
      <c r="C50" s="94" t="s">
        <v>59</v>
      </c>
      <c r="D50" s="95"/>
      <c r="E50" s="96" t="s">
        <v>21</v>
      </c>
      <c r="F50" s="96"/>
      <c r="G50" s="97"/>
    </row>
    <row r="51" spans="1:7" ht="24" customHeight="1" thickBot="1" x14ac:dyDescent="0.25">
      <c r="A51" s="76" t="s">
        <v>18</v>
      </c>
      <c r="B51" s="77"/>
      <c r="C51" s="78" t="s">
        <v>60</v>
      </c>
      <c r="D51" s="79"/>
      <c r="E51" s="80" t="s">
        <v>6</v>
      </c>
      <c r="F51" s="80"/>
      <c r="G51" s="81"/>
    </row>
  </sheetData>
  <mergeCells count="96">
    <mergeCell ref="C44:D44"/>
    <mergeCell ref="E44:F44"/>
    <mergeCell ref="C45:D45"/>
    <mergeCell ref="E45:F45"/>
    <mergeCell ref="A46:E46"/>
    <mergeCell ref="F46:G46"/>
    <mergeCell ref="A51:B51"/>
    <mergeCell ref="C51:D51"/>
    <mergeCell ref="E51:G51"/>
    <mergeCell ref="A47:G47"/>
    <mergeCell ref="A48:B48"/>
    <mergeCell ref="C48:G48"/>
    <mergeCell ref="A49:B49"/>
    <mergeCell ref="C49:D49"/>
    <mergeCell ref="E49:G49"/>
    <mergeCell ref="A50:B50"/>
    <mergeCell ref="C50:D50"/>
    <mergeCell ref="E50:G50"/>
    <mergeCell ref="E43:F43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C31:D31"/>
    <mergeCell ref="E31:F31"/>
    <mergeCell ref="C37:D37"/>
    <mergeCell ref="E37:F37"/>
    <mergeCell ref="C38:D38"/>
    <mergeCell ref="E38:F38"/>
    <mergeCell ref="E32:F32"/>
    <mergeCell ref="E33:F33"/>
    <mergeCell ref="E34:F34"/>
    <mergeCell ref="E35:F35"/>
    <mergeCell ref="E36:F36"/>
    <mergeCell ref="C32:D32"/>
    <mergeCell ref="C33:D33"/>
    <mergeCell ref="C34:D34"/>
    <mergeCell ref="C35:D35"/>
    <mergeCell ref="C36:D36"/>
    <mergeCell ref="C27:D27"/>
    <mergeCell ref="E27:F27"/>
    <mergeCell ref="C28:D28"/>
    <mergeCell ref="E28:F28"/>
    <mergeCell ref="C30:D30"/>
    <mergeCell ref="E30:F30"/>
    <mergeCell ref="E29:F29"/>
    <mergeCell ref="C29:D29"/>
    <mergeCell ref="C25:D25"/>
    <mergeCell ref="E25:F25"/>
    <mergeCell ref="C26:D26"/>
    <mergeCell ref="E26:F26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8:D18"/>
    <mergeCell ref="E18:F18"/>
    <mergeCell ref="C16:D16"/>
    <mergeCell ref="E16:F16"/>
    <mergeCell ref="C17:D17"/>
    <mergeCell ref="E17:F17"/>
    <mergeCell ref="C13:D13"/>
    <mergeCell ref="E13:F13"/>
    <mergeCell ref="C14:D14"/>
    <mergeCell ref="E14:F14"/>
    <mergeCell ref="C15:D15"/>
    <mergeCell ref="E15:F15"/>
    <mergeCell ref="C12:D12"/>
    <mergeCell ref="E12:F12"/>
    <mergeCell ref="B8:D8"/>
    <mergeCell ref="F8:G8"/>
    <mergeCell ref="B9:D9"/>
    <mergeCell ref="F9:G9"/>
    <mergeCell ref="A10:G10"/>
    <mergeCell ref="C11:D11"/>
    <mergeCell ref="E11:F11"/>
    <mergeCell ref="B5:D5"/>
    <mergeCell ref="E5:G5"/>
    <mergeCell ref="B2:D2"/>
    <mergeCell ref="E2:G2"/>
    <mergeCell ref="B3:D3"/>
    <mergeCell ref="E3:G4"/>
    <mergeCell ref="B4:D4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CHEM_1</vt:lpstr>
      <vt:lpstr>CHEM_1!Print_Area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</dc:creator>
  <cp:lastModifiedBy>Patrick Justin Ariado</cp:lastModifiedBy>
  <cp:lastPrinted>2026-04-07T05:09:14Z</cp:lastPrinted>
  <dcterms:created xsi:type="dcterms:W3CDTF">2016-02-03T00:24:18Z</dcterms:created>
  <dcterms:modified xsi:type="dcterms:W3CDTF">2026-04-07T05:09:19Z</dcterms:modified>
</cp:coreProperties>
</file>